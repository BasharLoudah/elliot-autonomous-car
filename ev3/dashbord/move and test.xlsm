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sha\AppData\Local\Temp\"/>
    </mc:Choice>
  </mc:AlternateContent>
  <xr:revisionPtr revIDLastSave="0" documentId="13_ncr:1_{F8FF2624-58EC-4248-99CC-EBE032224214}" xr6:coauthVersionLast="47" xr6:coauthVersionMax="47" xr10:uidLastSave="{00000000-0000-0000-0000-000000000000}"/>
  <bookViews>
    <workbookView xWindow="-108" yWindow="-108" windowWidth="23256" windowHeight="14616" firstSheet="2" activeTab="2" xr2:uid="{00000000-000D-0000-FFFF-FFFF00000000}"/>
  </bookViews>
  <sheets>
    <sheet name="Data" sheetId="13" state="hidden" r:id="rId1"/>
    <sheet name="Summary" sheetId="14" state="hidden" r:id="rId2"/>
    <sheet name="Dashboard" sheetId="15" r:id="rId3"/>
  </sheets>
  <functionGroups builtInGroupCount="19"/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B12" i="14" l="1"/>
  <c r="B11" i="14"/>
  <c r="B10" i="14"/>
  <c r="B9" i="14"/>
  <c r="B8" i="14"/>
  <c r="B7" i="14"/>
  <c r="B6" i="14"/>
  <c r="B5" i="14"/>
  <c r="B4" i="14"/>
  <c r="B3" i="14"/>
  <c r="B2" i="14"/>
</calcChain>
</file>

<file path=xl/sharedStrings.xml><?xml version="1.0" encoding="utf-8"?>
<sst xmlns="http://schemas.openxmlformats.org/spreadsheetml/2006/main" count="42" uniqueCount="42">
  <si>
    <t>Timestamp</t>
  </si>
  <si>
    <t>Robot_X</t>
  </si>
  <si>
    <t>Robot_Y</t>
  </si>
  <si>
    <t>Heading</t>
  </si>
  <si>
    <t>LeftSpeed</t>
  </si>
  <si>
    <t>RightSpeed</t>
  </si>
  <si>
    <t>DynamicSpeed</t>
  </si>
  <si>
    <t>LaneError</t>
  </si>
  <si>
    <t>NumSigns</t>
  </si>
  <si>
    <t>AvgSignConf</t>
  </si>
  <si>
    <t>2025-02-11 14:41:27</t>
  </si>
  <si>
    <t>2025-02-11 14:41:37</t>
  </si>
  <si>
    <t>2025-02-11 14:41:47</t>
  </si>
  <si>
    <t>2025-02-11 14:41:57</t>
  </si>
  <si>
    <t>2025-02-11 14:42:07</t>
  </si>
  <si>
    <t>2025-02-11 14:42:17</t>
  </si>
  <si>
    <t>2025-02-11 14:42:27</t>
  </si>
  <si>
    <t>2025-02-11 14:42:37</t>
  </si>
  <si>
    <t>2025-02-11 14:42:47</t>
  </si>
  <si>
    <t>2025-02-11 14:42:57</t>
  </si>
  <si>
    <t>2025-02-11 14:43:07</t>
  </si>
  <si>
    <t>2025-02-11 14:43:17</t>
  </si>
  <si>
    <t>2025-02-11 14:43:27</t>
  </si>
  <si>
    <t>2025-02-11 14:43:37</t>
  </si>
  <si>
    <t>2025-02-11 14:43:47</t>
  </si>
  <si>
    <t>2025-02-11 14:43:57</t>
  </si>
  <si>
    <t>2025-02-11 14:44:07</t>
  </si>
  <si>
    <t>2025-02-11 14:44:17</t>
  </si>
  <si>
    <t>2025-02-11 14:44:27</t>
  </si>
  <si>
    <t>2025-02-11 14:44:37</t>
  </si>
  <si>
    <t>EV3 Project Dashboard - Summary</t>
  </si>
  <si>
    <t>Latest Timestamp:</t>
  </si>
  <si>
    <t>Latest Robot Position (X, Y):</t>
  </si>
  <si>
    <t>Latest Heading:</t>
  </si>
  <si>
    <t>Latest Motor Speeds (L, R):</t>
  </si>
  <si>
    <t>Latest Dynamic Speed:</t>
  </si>
  <si>
    <t>Latest Lane Error:</t>
  </si>
  <si>
    <t>Average Lane Error:</t>
  </si>
  <si>
    <t>Average LeftSpeed:</t>
  </si>
  <si>
    <t>Average RightSpeed:</t>
  </si>
  <si>
    <t>Total Number of Signs Detected:</t>
  </si>
  <si>
    <t>Average Sign Confidence: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</si>
</sst>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4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1" fillId="0" borderId="0" xfId="1"/>
    <xf numFmtId="0" fontId="2" fillId="0" borderId="0" xfId="1" applyFont="1"/>
  </cellXfs>
  <cellStyles count="2">
    <cellStyle name="Normal" xfId="0" builtinId="0"/>
    <cellStyle name="Normal 2" xfId="1" xr:uid="{24C16D23-528C-4665-B583-9A27FD4111E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Lane Error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Data!$H$1</c:f>
              <c:strCache>
                <c:ptCount val="1"/>
                <c:pt idx="0">
                  <c:v>LaneError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Data!$A$2:$A$21</c:f>
              <c:strCache>
                <c:ptCount val="20"/>
                <c:pt idx="0">
                  <c:v>2025-02-11 14:41:27</c:v>
                </c:pt>
                <c:pt idx="1">
                  <c:v>2025-02-11 14:41:37</c:v>
                </c:pt>
                <c:pt idx="2">
                  <c:v>2025-02-11 14:41:47</c:v>
                </c:pt>
                <c:pt idx="3">
                  <c:v>2025-02-11 14:41:57</c:v>
                </c:pt>
                <c:pt idx="4">
                  <c:v>2025-02-11 14:42:07</c:v>
                </c:pt>
                <c:pt idx="5">
                  <c:v>2025-02-11 14:42:17</c:v>
                </c:pt>
                <c:pt idx="6">
                  <c:v>2025-02-11 14:42:27</c:v>
                </c:pt>
                <c:pt idx="7">
                  <c:v>2025-02-11 14:42:37</c:v>
                </c:pt>
                <c:pt idx="8">
                  <c:v>2025-02-11 14:42:47</c:v>
                </c:pt>
                <c:pt idx="9">
                  <c:v>2025-02-11 14:42:57</c:v>
                </c:pt>
                <c:pt idx="10">
                  <c:v>2025-02-11 14:43:07</c:v>
                </c:pt>
                <c:pt idx="11">
                  <c:v>2025-02-11 14:43:17</c:v>
                </c:pt>
                <c:pt idx="12">
                  <c:v>2025-02-11 14:43:27</c:v>
                </c:pt>
                <c:pt idx="13">
                  <c:v>2025-02-11 14:43:37</c:v>
                </c:pt>
                <c:pt idx="14">
                  <c:v>2025-02-11 14:43:47</c:v>
                </c:pt>
                <c:pt idx="15">
                  <c:v>2025-02-11 14:43:57</c:v>
                </c:pt>
                <c:pt idx="16">
                  <c:v>2025-02-11 14:44:07</c:v>
                </c:pt>
                <c:pt idx="17">
                  <c:v>2025-02-11 14:44:17</c:v>
                </c:pt>
                <c:pt idx="18">
                  <c:v>2025-02-11 14:44:27</c:v>
                </c:pt>
                <c:pt idx="19">
                  <c:v>2025-02-11 14:44:37</c:v>
                </c:pt>
              </c:strCache>
            </c:strRef>
          </c:cat>
          <c:val>
            <c:numRef>
              <c:f>Data!$H$2:$H$21</c:f>
              <c:numCache>
                <c:formatCode>General</c:formatCode>
                <c:ptCount val="20"/>
                <c:pt idx="0">
                  <c:v>12</c:v>
                </c:pt>
                <c:pt idx="1">
                  <c:v>-1</c:v>
                </c:pt>
                <c:pt idx="2">
                  <c:v>-46</c:v>
                </c:pt>
                <c:pt idx="3">
                  <c:v>39</c:v>
                </c:pt>
                <c:pt idx="4">
                  <c:v>36</c:v>
                </c:pt>
                <c:pt idx="5">
                  <c:v>-37</c:v>
                </c:pt>
                <c:pt idx="6">
                  <c:v>-26</c:v>
                </c:pt>
                <c:pt idx="7">
                  <c:v>-45</c:v>
                </c:pt>
                <c:pt idx="8">
                  <c:v>7</c:v>
                </c:pt>
                <c:pt idx="9">
                  <c:v>-50</c:v>
                </c:pt>
                <c:pt idx="10">
                  <c:v>-11</c:v>
                </c:pt>
                <c:pt idx="11">
                  <c:v>-50</c:v>
                </c:pt>
                <c:pt idx="12">
                  <c:v>-21</c:v>
                </c:pt>
                <c:pt idx="13">
                  <c:v>-36</c:v>
                </c:pt>
                <c:pt idx="14">
                  <c:v>-42</c:v>
                </c:pt>
                <c:pt idx="15">
                  <c:v>-30</c:v>
                </c:pt>
                <c:pt idx="16">
                  <c:v>20</c:v>
                </c:pt>
                <c:pt idx="17">
                  <c:v>-4</c:v>
                </c:pt>
                <c:pt idx="18">
                  <c:v>-42</c:v>
                </c:pt>
                <c:pt idx="1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28-4D96-AD29-8B2A15566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Timestamp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Lane Error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Robot Trajectory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xVal>
            <c:numRef>
              <c:f>Data!$B$2:$B$21</c:f>
              <c:numCache>
                <c:formatCode>General</c:formatCode>
                <c:ptCount val="20"/>
                <c:pt idx="0">
                  <c:v>63.5</c:v>
                </c:pt>
                <c:pt idx="1">
                  <c:v>52.3</c:v>
                </c:pt>
                <c:pt idx="2">
                  <c:v>75.8</c:v>
                </c:pt>
                <c:pt idx="3">
                  <c:v>84.1</c:v>
                </c:pt>
                <c:pt idx="4">
                  <c:v>51.4</c:v>
                </c:pt>
                <c:pt idx="5">
                  <c:v>58.1</c:v>
                </c:pt>
                <c:pt idx="6">
                  <c:v>41.3</c:v>
                </c:pt>
                <c:pt idx="7">
                  <c:v>63.9</c:v>
                </c:pt>
                <c:pt idx="8">
                  <c:v>11.3</c:v>
                </c:pt>
                <c:pt idx="9">
                  <c:v>94</c:v>
                </c:pt>
                <c:pt idx="10">
                  <c:v>5.4</c:v>
                </c:pt>
                <c:pt idx="11">
                  <c:v>6.6</c:v>
                </c:pt>
                <c:pt idx="12">
                  <c:v>40.799999999999997</c:v>
                </c:pt>
                <c:pt idx="13">
                  <c:v>47.5</c:v>
                </c:pt>
                <c:pt idx="14">
                  <c:v>8.9</c:v>
                </c:pt>
                <c:pt idx="15">
                  <c:v>70</c:v>
                </c:pt>
                <c:pt idx="16">
                  <c:v>30.6</c:v>
                </c:pt>
                <c:pt idx="17">
                  <c:v>37.1</c:v>
                </c:pt>
                <c:pt idx="18">
                  <c:v>62.4</c:v>
                </c:pt>
                <c:pt idx="19">
                  <c:v>29.2</c:v>
                </c:pt>
              </c:numCache>
            </c:numRef>
          </c:xVal>
          <c:yVal>
            <c:numRef>
              <c:f>Data!$C$2:$C$21</c:f>
              <c:numCache>
                <c:formatCode>General</c:formatCode>
                <c:ptCount val="20"/>
                <c:pt idx="0">
                  <c:v>88.6</c:v>
                </c:pt>
                <c:pt idx="1">
                  <c:v>11.4</c:v>
                </c:pt>
                <c:pt idx="2">
                  <c:v>31</c:v>
                </c:pt>
                <c:pt idx="3">
                  <c:v>79.2</c:v>
                </c:pt>
                <c:pt idx="4">
                  <c:v>36</c:v>
                </c:pt>
                <c:pt idx="5">
                  <c:v>78.599999999999994</c:v>
                </c:pt>
                <c:pt idx="6">
                  <c:v>93.8</c:v>
                </c:pt>
                <c:pt idx="7">
                  <c:v>82.1</c:v>
                </c:pt>
                <c:pt idx="8">
                  <c:v>87.4</c:v>
                </c:pt>
                <c:pt idx="9">
                  <c:v>22.5</c:v>
                </c:pt>
                <c:pt idx="10">
                  <c:v>21.3</c:v>
                </c:pt>
                <c:pt idx="11">
                  <c:v>24.4</c:v>
                </c:pt>
                <c:pt idx="12">
                  <c:v>48.7</c:v>
                </c:pt>
                <c:pt idx="13">
                  <c:v>11.6</c:v>
                </c:pt>
                <c:pt idx="14">
                  <c:v>34.700000000000003</c:v>
                </c:pt>
                <c:pt idx="15">
                  <c:v>44.2</c:v>
                </c:pt>
                <c:pt idx="16">
                  <c:v>42.7</c:v>
                </c:pt>
                <c:pt idx="17">
                  <c:v>64.400000000000006</c:v>
                </c:pt>
                <c:pt idx="18">
                  <c:v>97.7</c:v>
                </c:pt>
                <c:pt idx="19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99-4EF0-AAD5-02298AD6E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Robot_X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Robot_Y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Motor Speeds Over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LeftSpeed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Data!$A$2:$A$21</c:f>
              <c:strCache>
                <c:ptCount val="20"/>
                <c:pt idx="0">
                  <c:v>2025-02-11 14:41:27</c:v>
                </c:pt>
                <c:pt idx="1">
                  <c:v>2025-02-11 14:41:37</c:v>
                </c:pt>
                <c:pt idx="2">
                  <c:v>2025-02-11 14:41:47</c:v>
                </c:pt>
                <c:pt idx="3">
                  <c:v>2025-02-11 14:41:57</c:v>
                </c:pt>
                <c:pt idx="4">
                  <c:v>2025-02-11 14:42:07</c:v>
                </c:pt>
                <c:pt idx="5">
                  <c:v>2025-02-11 14:42:17</c:v>
                </c:pt>
                <c:pt idx="6">
                  <c:v>2025-02-11 14:42:27</c:v>
                </c:pt>
                <c:pt idx="7">
                  <c:v>2025-02-11 14:42:37</c:v>
                </c:pt>
                <c:pt idx="8">
                  <c:v>2025-02-11 14:42:47</c:v>
                </c:pt>
                <c:pt idx="9">
                  <c:v>2025-02-11 14:42:57</c:v>
                </c:pt>
                <c:pt idx="10">
                  <c:v>2025-02-11 14:43:07</c:v>
                </c:pt>
                <c:pt idx="11">
                  <c:v>2025-02-11 14:43:17</c:v>
                </c:pt>
                <c:pt idx="12">
                  <c:v>2025-02-11 14:43:27</c:v>
                </c:pt>
                <c:pt idx="13">
                  <c:v>2025-02-11 14:43:37</c:v>
                </c:pt>
                <c:pt idx="14">
                  <c:v>2025-02-11 14:43:47</c:v>
                </c:pt>
                <c:pt idx="15">
                  <c:v>2025-02-11 14:43:57</c:v>
                </c:pt>
                <c:pt idx="16">
                  <c:v>2025-02-11 14:44:07</c:v>
                </c:pt>
                <c:pt idx="17">
                  <c:v>2025-02-11 14:44:17</c:v>
                </c:pt>
                <c:pt idx="18">
                  <c:v>2025-02-11 14:44:27</c:v>
                </c:pt>
                <c:pt idx="19">
                  <c:v>2025-02-11 14:44:37</c:v>
                </c:pt>
              </c:strCache>
            </c:strRef>
          </c:cat>
          <c:val>
            <c:numRef>
              <c:f>Data!$E$2:$E$21</c:f>
              <c:numCache>
                <c:formatCode>General</c:formatCode>
                <c:ptCount val="20"/>
                <c:pt idx="0">
                  <c:v>71</c:v>
                </c:pt>
                <c:pt idx="1">
                  <c:v>9</c:v>
                </c:pt>
                <c:pt idx="2">
                  <c:v>98</c:v>
                </c:pt>
                <c:pt idx="3">
                  <c:v>57</c:v>
                </c:pt>
                <c:pt idx="4">
                  <c:v>2</c:v>
                </c:pt>
                <c:pt idx="5">
                  <c:v>28</c:v>
                </c:pt>
                <c:pt idx="6">
                  <c:v>20</c:v>
                </c:pt>
                <c:pt idx="7">
                  <c:v>2</c:v>
                </c:pt>
                <c:pt idx="8">
                  <c:v>17</c:v>
                </c:pt>
                <c:pt idx="9">
                  <c:v>69</c:v>
                </c:pt>
                <c:pt idx="10">
                  <c:v>93</c:v>
                </c:pt>
                <c:pt idx="11">
                  <c:v>43</c:v>
                </c:pt>
                <c:pt idx="12">
                  <c:v>56</c:v>
                </c:pt>
                <c:pt idx="13">
                  <c:v>63</c:v>
                </c:pt>
                <c:pt idx="14">
                  <c:v>76</c:v>
                </c:pt>
                <c:pt idx="15">
                  <c:v>11</c:v>
                </c:pt>
                <c:pt idx="16">
                  <c:v>55</c:v>
                </c:pt>
                <c:pt idx="17">
                  <c:v>87</c:v>
                </c:pt>
                <c:pt idx="18">
                  <c:v>45</c:v>
                </c:pt>
                <c:pt idx="1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7-4157-A50B-8436FEB75962}"/>
            </c:ext>
          </c:extLst>
        </c:ser>
        <c:ser>
          <c:idx val="1"/>
          <c:order val="1"/>
          <c:tx>
            <c:strRef>
              <c:f>Data!$F$1</c:f>
              <c:strCache>
                <c:ptCount val="1"/>
                <c:pt idx="0">
                  <c:v>RightSpeed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Data!$A$2:$A$21</c:f>
              <c:strCache>
                <c:ptCount val="20"/>
                <c:pt idx="0">
                  <c:v>2025-02-11 14:41:27</c:v>
                </c:pt>
                <c:pt idx="1">
                  <c:v>2025-02-11 14:41:37</c:v>
                </c:pt>
                <c:pt idx="2">
                  <c:v>2025-02-11 14:41:47</c:v>
                </c:pt>
                <c:pt idx="3">
                  <c:v>2025-02-11 14:41:57</c:v>
                </c:pt>
                <c:pt idx="4">
                  <c:v>2025-02-11 14:42:07</c:v>
                </c:pt>
                <c:pt idx="5">
                  <c:v>2025-02-11 14:42:17</c:v>
                </c:pt>
                <c:pt idx="6">
                  <c:v>2025-02-11 14:42:27</c:v>
                </c:pt>
                <c:pt idx="7">
                  <c:v>2025-02-11 14:42:37</c:v>
                </c:pt>
                <c:pt idx="8">
                  <c:v>2025-02-11 14:42:47</c:v>
                </c:pt>
                <c:pt idx="9">
                  <c:v>2025-02-11 14:42:57</c:v>
                </c:pt>
                <c:pt idx="10">
                  <c:v>2025-02-11 14:43:07</c:v>
                </c:pt>
                <c:pt idx="11">
                  <c:v>2025-02-11 14:43:17</c:v>
                </c:pt>
                <c:pt idx="12">
                  <c:v>2025-02-11 14:43:27</c:v>
                </c:pt>
                <c:pt idx="13">
                  <c:v>2025-02-11 14:43:37</c:v>
                </c:pt>
                <c:pt idx="14">
                  <c:v>2025-02-11 14:43:47</c:v>
                </c:pt>
                <c:pt idx="15">
                  <c:v>2025-02-11 14:43:57</c:v>
                </c:pt>
                <c:pt idx="16">
                  <c:v>2025-02-11 14:44:07</c:v>
                </c:pt>
                <c:pt idx="17">
                  <c:v>2025-02-11 14:44:17</c:v>
                </c:pt>
                <c:pt idx="18">
                  <c:v>2025-02-11 14:44:27</c:v>
                </c:pt>
                <c:pt idx="19">
                  <c:v>2025-02-11 14:44:37</c:v>
                </c:pt>
              </c:strCache>
            </c:strRef>
          </c:cat>
          <c:val>
            <c:numRef>
              <c:f>Data!$F$2:$F$21</c:f>
              <c:numCache>
                <c:formatCode>General</c:formatCode>
                <c:ptCount val="20"/>
                <c:pt idx="0">
                  <c:v>0</c:v>
                </c:pt>
                <c:pt idx="1">
                  <c:v>80</c:v>
                </c:pt>
                <c:pt idx="2">
                  <c:v>80</c:v>
                </c:pt>
                <c:pt idx="3">
                  <c:v>79</c:v>
                </c:pt>
                <c:pt idx="4">
                  <c:v>98</c:v>
                </c:pt>
                <c:pt idx="5">
                  <c:v>71</c:v>
                </c:pt>
                <c:pt idx="6">
                  <c:v>46</c:v>
                </c:pt>
                <c:pt idx="7">
                  <c:v>11</c:v>
                </c:pt>
                <c:pt idx="8">
                  <c:v>25</c:v>
                </c:pt>
                <c:pt idx="9">
                  <c:v>79</c:v>
                </c:pt>
                <c:pt idx="10">
                  <c:v>16</c:v>
                </c:pt>
                <c:pt idx="11">
                  <c:v>34</c:v>
                </c:pt>
                <c:pt idx="12">
                  <c:v>68</c:v>
                </c:pt>
                <c:pt idx="13">
                  <c:v>31</c:v>
                </c:pt>
                <c:pt idx="14">
                  <c:v>98</c:v>
                </c:pt>
                <c:pt idx="15">
                  <c:v>35</c:v>
                </c:pt>
                <c:pt idx="16">
                  <c:v>92</c:v>
                </c:pt>
                <c:pt idx="17">
                  <c:v>4</c:v>
                </c:pt>
                <c:pt idx="18">
                  <c:v>8</c:v>
                </c:pt>
                <c:pt idx="19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67-4157-A50B-8436FEB75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Timestamp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20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02ADFF-0B7F-417A-A844-E0B98488A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720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094618-8D4A-4ABE-B485-B81BC4671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39</xdr:row>
      <xdr:rowOff>0</xdr:rowOff>
    </xdr:from>
    <xdr:ext cx="720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5F39087-8042-4F32-B8B3-D8805DE42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sha\Downloads\EV3_AdvancedDashboard.xlsx" TargetMode="External"/><Relationship Id="rId1" Type="http://schemas.openxmlformats.org/officeDocument/2006/relationships/externalLinkPath" Target="/Users/basha/Downloads/EV3_Advanced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Summary"/>
      <sheetName val="Dashboard"/>
    </sheetNames>
    <sheetDataSet>
      <sheetData sheetId="0">
        <row r="1">
          <cell r="E1" t="str">
            <v>LeftSpeed</v>
          </cell>
          <cell r="F1" t="str">
            <v>RightSpeed</v>
          </cell>
          <cell r="H1" t="str">
            <v>LaneError</v>
          </cell>
        </row>
        <row r="2">
          <cell r="A2" t="str">
            <v>2025-02-11 14:41:27</v>
          </cell>
          <cell r="B2">
            <v>63.5</v>
          </cell>
          <cell r="C2">
            <v>88.6</v>
          </cell>
          <cell r="E2">
            <v>71</v>
          </cell>
          <cell r="F2">
            <v>0</v>
          </cell>
          <cell r="H2">
            <v>12</v>
          </cell>
        </row>
        <row r="3">
          <cell r="A3" t="str">
            <v>2025-02-11 14:41:37</v>
          </cell>
          <cell r="B3">
            <v>52.3</v>
          </cell>
          <cell r="C3">
            <v>11.4</v>
          </cell>
          <cell r="E3">
            <v>9</v>
          </cell>
          <cell r="F3">
            <v>80</v>
          </cell>
          <cell r="H3">
            <v>-1</v>
          </cell>
        </row>
        <row r="4">
          <cell r="A4" t="str">
            <v>2025-02-11 14:41:47</v>
          </cell>
          <cell r="B4">
            <v>75.8</v>
          </cell>
          <cell r="C4">
            <v>31</v>
          </cell>
          <cell r="E4">
            <v>98</v>
          </cell>
          <cell r="F4">
            <v>80</v>
          </cell>
          <cell r="H4">
            <v>-46</v>
          </cell>
        </row>
        <row r="5">
          <cell r="A5" t="str">
            <v>2025-02-11 14:41:57</v>
          </cell>
          <cell r="B5">
            <v>84.1</v>
          </cell>
          <cell r="C5">
            <v>79.2</v>
          </cell>
          <cell r="E5">
            <v>57</v>
          </cell>
          <cell r="F5">
            <v>79</v>
          </cell>
          <cell r="H5">
            <v>39</v>
          </cell>
        </row>
        <row r="6">
          <cell r="A6" t="str">
            <v>2025-02-11 14:42:07</v>
          </cell>
          <cell r="B6">
            <v>51.4</v>
          </cell>
          <cell r="C6">
            <v>36</v>
          </cell>
          <cell r="E6">
            <v>2</v>
          </cell>
          <cell r="F6">
            <v>98</v>
          </cell>
          <cell r="H6">
            <v>36</v>
          </cell>
        </row>
        <row r="7">
          <cell r="A7" t="str">
            <v>2025-02-11 14:42:17</v>
          </cell>
          <cell r="B7">
            <v>58.1</v>
          </cell>
          <cell r="C7">
            <v>78.599999999999994</v>
          </cell>
          <cell r="E7">
            <v>28</v>
          </cell>
          <cell r="F7">
            <v>71</v>
          </cell>
          <cell r="H7">
            <v>-37</v>
          </cell>
        </row>
        <row r="8">
          <cell r="A8" t="str">
            <v>2025-02-11 14:42:27</v>
          </cell>
          <cell r="B8">
            <v>41.3</v>
          </cell>
          <cell r="C8">
            <v>93.8</v>
          </cell>
          <cell r="E8">
            <v>20</v>
          </cell>
          <cell r="F8">
            <v>46</v>
          </cell>
          <cell r="H8">
            <v>-26</v>
          </cell>
        </row>
        <row r="9">
          <cell r="A9" t="str">
            <v>2025-02-11 14:42:37</v>
          </cell>
          <cell r="B9">
            <v>63.9</v>
          </cell>
          <cell r="C9">
            <v>82.1</v>
          </cell>
          <cell r="E9">
            <v>2</v>
          </cell>
          <cell r="F9">
            <v>11</v>
          </cell>
          <cell r="H9">
            <v>-45</v>
          </cell>
        </row>
        <row r="10">
          <cell r="A10" t="str">
            <v>2025-02-11 14:42:47</v>
          </cell>
          <cell r="B10">
            <v>11.3</v>
          </cell>
          <cell r="C10">
            <v>87.4</v>
          </cell>
          <cell r="E10">
            <v>17</v>
          </cell>
          <cell r="F10">
            <v>25</v>
          </cell>
          <cell r="H10">
            <v>7</v>
          </cell>
        </row>
        <row r="11">
          <cell r="A11" t="str">
            <v>2025-02-11 14:42:57</v>
          </cell>
          <cell r="B11">
            <v>94</v>
          </cell>
          <cell r="C11">
            <v>22.5</v>
          </cell>
          <cell r="E11">
            <v>69</v>
          </cell>
          <cell r="F11">
            <v>79</v>
          </cell>
          <cell r="H11">
            <v>-50</v>
          </cell>
        </row>
        <row r="12">
          <cell r="A12" t="str">
            <v>2025-02-11 14:43:07</v>
          </cell>
          <cell r="B12">
            <v>5.4</v>
          </cell>
          <cell r="C12">
            <v>21.3</v>
          </cell>
          <cell r="E12">
            <v>93</v>
          </cell>
          <cell r="F12">
            <v>16</v>
          </cell>
          <cell r="H12">
            <v>-11</v>
          </cell>
        </row>
        <row r="13">
          <cell r="A13" t="str">
            <v>2025-02-11 14:43:17</v>
          </cell>
          <cell r="B13">
            <v>6.6</v>
          </cell>
          <cell r="C13">
            <v>24.4</v>
          </cell>
          <cell r="E13">
            <v>43</v>
          </cell>
          <cell r="F13">
            <v>34</v>
          </cell>
          <cell r="H13">
            <v>-50</v>
          </cell>
        </row>
        <row r="14">
          <cell r="A14" t="str">
            <v>2025-02-11 14:43:27</v>
          </cell>
          <cell r="B14">
            <v>40.799999999999997</v>
          </cell>
          <cell r="C14">
            <v>48.7</v>
          </cell>
          <cell r="E14">
            <v>56</v>
          </cell>
          <cell r="F14">
            <v>68</v>
          </cell>
          <cell r="H14">
            <v>-21</v>
          </cell>
        </row>
        <row r="15">
          <cell r="A15" t="str">
            <v>2025-02-11 14:43:37</v>
          </cell>
          <cell r="B15">
            <v>47.5</v>
          </cell>
          <cell r="C15">
            <v>11.6</v>
          </cell>
          <cell r="E15">
            <v>63</v>
          </cell>
          <cell r="F15">
            <v>31</v>
          </cell>
          <cell r="H15">
            <v>-36</v>
          </cell>
        </row>
        <row r="16">
          <cell r="A16" t="str">
            <v>2025-02-11 14:43:47</v>
          </cell>
          <cell r="B16">
            <v>8.9</v>
          </cell>
          <cell r="C16">
            <v>34.700000000000003</v>
          </cell>
          <cell r="E16">
            <v>76</v>
          </cell>
          <cell r="F16">
            <v>98</v>
          </cell>
          <cell r="H16">
            <v>-42</v>
          </cell>
        </row>
        <row r="17">
          <cell r="A17" t="str">
            <v>2025-02-11 14:43:57</v>
          </cell>
          <cell r="B17">
            <v>70</v>
          </cell>
          <cell r="C17">
            <v>44.2</v>
          </cell>
          <cell r="E17">
            <v>11</v>
          </cell>
          <cell r="F17">
            <v>35</v>
          </cell>
          <cell r="H17">
            <v>-30</v>
          </cell>
        </row>
        <row r="18">
          <cell r="A18" t="str">
            <v>2025-02-11 14:44:07</v>
          </cell>
          <cell r="B18">
            <v>30.6</v>
          </cell>
          <cell r="C18">
            <v>42.7</v>
          </cell>
          <cell r="E18">
            <v>55</v>
          </cell>
          <cell r="F18">
            <v>92</v>
          </cell>
          <cell r="H18">
            <v>20</v>
          </cell>
        </row>
        <row r="19">
          <cell r="A19" t="str">
            <v>2025-02-11 14:44:17</v>
          </cell>
          <cell r="B19">
            <v>37.1</v>
          </cell>
          <cell r="C19">
            <v>64.400000000000006</v>
          </cell>
          <cell r="E19">
            <v>87</v>
          </cell>
          <cell r="F19">
            <v>4</v>
          </cell>
          <cell r="H19">
            <v>-4</v>
          </cell>
        </row>
        <row r="20">
          <cell r="A20" t="str">
            <v>2025-02-11 14:44:27</v>
          </cell>
          <cell r="B20">
            <v>62.4</v>
          </cell>
          <cell r="C20">
            <v>97.7</v>
          </cell>
          <cell r="E20">
            <v>45</v>
          </cell>
          <cell r="F20">
            <v>8</v>
          </cell>
          <cell r="H20">
            <v>-42</v>
          </cell>
        </row>
        <row r="21">
          <cell r="A21" t="str">
            <v>2025-02-11 14:44:37</v>
          </cell>
          <cell r="B21">
            <v>29.2</v>
          </cell>
          <cell r="C21">
            <v>2.9</v>
          </cell>
          <cell r="E21">
            <v>16</v>
          </cell>
          <cell r="F21">
            <v>88</v>
          </cell>
          <cell r="H21">
            <v>3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D2225-4D38-48C2-9AFA-20177B20BBCE}">
  <dimension ref="A1:J21"/>
  <sheetViews>
    <sheetView workbookViewId="0"/>
  </sheetViews>
  <sheetFormatPr defaultRowHeight="14.4" x14ac:dyDescent="0.3"/>
  <cols>
    <col min="1" max="16384" width="8.88671875" style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1" t="s">
        <v>10</v>
      </c>
      <c r="B2" s="1">
        <v>63.5</v>
      </c>
      <c r="C2" s="1">
        <v>88.6</v>
      </c>
      <c r="D2" s="1">
        <v>30</v>
      </c>
      <c r="E2" s="1">
        <v>71</v>
      </c>
      <c r="F2" s="1">
        <v>0</v>
      </c>
      <c r="G2" s="1">
        <v>53</v>
      </c>
      <c r="H2" s="1">
        <v>12</v>
      </c>
      <c r="I2" s="1">
        <v>2</v>
      </c>
      <c r="J2" s="1">
        <v>0.68</v>
      </c>
    </row>
    <row r="3" spans="1:10" x14ac:dyDescent="0.3">
      <c r="A3" s="1" t="s">
        <v>11</v>
      </c>
      <c r="B3" s="1">
        <v>52.3</v>
      </c>
      <c r="C3" s="1">
        <v>11.4</v>
      </c>
      <c r="D3" s="1">
        <v>199.9</v>
      </c>
      <c r="E3" s="1">
        <v>9</v>
      </c>
      <c r="F3" s="1">
        <v>80</v>
      </c>
      <c r="G3" s="1">
        <v>26</v>
      </c>
      <c r="H3" s="1">
        <v>-1</v>
      </c>
      <c r="I3" s="1">
        <v>4</v>
      </c>
      <c r="J3" s="1">
        <v>0.84</v>
      </c>
    </row>
    <row r="4" spans="1:10" x14ac:dyDescent="0.3">
      <c r="A4" s="1" t="s">
        <v>12</v>
      </c>
      <c r="B4" s="1">
        <v>75.8</v>
      </c>
      <c r="C4" s="1">
        <v>31</v>
      </c>
      <c r="D4" s="1">
        <v>250.1</v>
      </c>
      <c r="E4" s="1">
        <v>98</v>
      </c>
      <c r="F4" s="1">
        <v>80</v>
      </c>
      <c r="G4" s="1">
        <v>38</v>
      </c>
      <c r="H4" s="1">
        <v>-46</v>
      </c>
      <c r="I4" s="1">
        <v>2</v>
      </c>
      <c r="J4" s="1">
        <v>0.6</v>
      </c>
    </row>
    <row r="5" spans="1:10" x14ac:dyDescent="0.3">
      <c r="A5" s="1" t="s">
        <v>13</v>
      </c>
      <c r="B5" s="1">
        <v>84.1</v>
      </c>
      <c r="C5" s="1">
        <v>79.2</v>
      </c>
      <c r="D5" s="1">
        <v>93</v>
      </c>
      <c r="E5" s="1">
        <v>57</v>
      </c>
      <c r="F5" s="1">
        <v>79</v>
      </c>
      <c r="G5" s="1">
        <v>49</v>
      </c>
      <c r="H5" s="1">
        <v>39</v>
      </c>
      <c r="I5" s="1">
        <v>3</v>
      </c>
      <c r="J5" s="1">
        <v>0.99</v>
      </c>
    </row>
    <row r="6" spans="1:10" x14ac:dyDescent="0.3">
      <c r="A6" s="1" t="s">
        <v>14</v>
      </c>
      <c r="B6" s="1">
        <v>51.4</v>
      </c>
      <c r="C6" s="1">
        <v>36</v>
      </c>
      <c r="D6" s="1">
        <v>35.299999999999997</v>
      </c>
      <c r="E6" s="1">
        <v>2</v>
      </c>
      <c r="F6" s="1">
        <v>98</v>
      </c>
      <c r="G6" s="1">
        <v>48</v>
      </c>
      <c r="H6" s="1">
        <v>36</v>
      </c>
      <c r="I6" s="1">
        <v>1</v>
      </c>
      <c r="J6" s="1">
        <v>0.93</v>
      </c>
    </row>
    <row r="7" spans="1:10" x14ac:dyDescent="0.3">
      <c r="A7" s="1" t="s">
        <v>15</v>
      </c>
      <c r="B7" s="1">
        <v>58.1</v>
      </c>
      <c r="C7" s="1">
        <v>78.599999999999994</v>
      </c>
      <c r="D7" s="1">
        <v>83.3</v>
      </c>
      <c r="E7" s="1">
        <v>28</v>
      </c>
      <c r="F7" s="1">
        <v>71</v>
      </c>
      <c r="G7" s="1">
        <v>36</v>
      </c>
      <c r="H7" s="1">
        <v>-37</v>
      </c>
      <c r="I7" s="1">
        <v>3</v>
      </c>
      <c r="J7" s="1">
        <v>0.65</v>
      </c>
    </row>
    <row r="8" spans="1:10" x14ac:dyDescent="0.3">
      <c r="A8" s="1" t="s">
        <v>16</v>
      </c>
      <c r="B8" s="1">
        <v>41.3</v>
      </c>
      <c r="C8" s="1">
        <v>93.8</v>
      </c>
      <c r="D8" s="1">
        <v>37.1</v>
      </c>
      <c r="E8" s="1">
        <v>20</v>
      </c>
      <c r="F8" s="1">
        <v>46</v>
      </c>
      <c r="G8" s="1">
        <v>27</v>
      </c>
      <c r="H8" s="1">
        <v>-26</v>
      </c>
      <c r="I8" s="1">
        <v>5</v>
      </c>
      <c r="J8" s="1">
        <v>0.98</v>
      </c>
    </row>
    <row r="9" spans="1:10" x14ac:dyDescent="0.3">
      <c r="A9" s="1" t="s">
        <v>17</v>
      </c>
      <c r="B9" s="1">
        <v>63.9</v>
      </c>
      <c r="C9" s="1">
        <v>82.1</v>
      </c>
      <c r="D9" s="1">
        <v>174.1</v>
      </c>
      <c r="E9" s="1">
        <v>2</v>
      </c>
      <c r="F9" s="1">
        <v>11</v>
      </c>
      <c r="G9" s="1">
        <v>26</v>
      </c>
      <c r="H9" s="1">
        <v>-45</v>
      </c>
      <c r="I9" s="1">
        <v>5</v>
      </c>
      <c r="J9" s="1">
        <v>0.65</v>
      </c>
    </row>
    <row r="10" spans="1:10" x14ac:dyDescent="0.3">
      <c r="A10" s="1" t="s">
        <v>18</v>
      </c>
      <c r="B10" s="1">
        <v>11.3</v>
      </c>
      <c r="C10" s="1">
        <v>87.4</v>
      </c>
      <c r="D10" s="1">
        <v>17.399999999999999</v>
      </c>
      <c r="E10" s="1">
        <v>17</v>
      </c>
      <c r="F10" s="1">
        <v>25</v>
      </c>
      <c r="G10" s="1">
        <v>35</v>
      </c>
      <c r="H10" s="1">
        <v>7</v>
      </c>
      <c r="I10" s="1">
        <v>4</v>
      </c>
      <c r="J10" s="1">
        <v>0.84</v>
      </c>
    </row>
    <row r="11" spans="1:10" x14ac:dyDescent="0.3">
      <c r="A11" s="1" t="s">
        <v>19</v>
      </c>
      <c r="B11" s="1">
        <v>94</v>
      </c>
      <c r="C11" s="1">
        <v>22.5</v>
      </c>
      <c r="D11" s="1">
        <v>26.8</v>
      </c>
      <c r="E11" s="1">
        <v>69</v>
      </c>
      <c r="F11" s="1">
        <v>79</v>
      </c>
      <c r="G11" s="1">
        <v>43</v>
      </c>
      <c r="H11" s="1">
        <v>-50</v>
      </c>
      <c r="I11" s="1">
        <v>5</v>
      </c>
      <c r="J11" s="1">
        <v>0.62</v>
      </c>
    </row>
    <row r="12" spans="1:10" x14ac:dyDescent="0.3">
      <c r="A12" s="1" t="s">
        <v>20</v>
      </c>
      <c r="B12" s="1">
        <v>5.4</v>
      </c>
      <c r="C12" s="1">
        <v>21.3</v>
      </c>
      <c r="D12" s="1">
        <v>233.4</v>
      </c>
      <c r="E12" s="1">
        <v>93</v>
      </c>
      <c r="F12" s="1">
        <v>16</v>
      </c>
      <c r="G12" s="1">
        <v>42</v>
      </c>
      <c r="H12" s="1">
        <v>-11</v>
      </c>
      <c r="I12" s="1">
        <v>0</v>
      </c>
      <c r="J12" s="1">
        <v>0.89</v>
      </c>
    </row>
    <row r="13" spans="1:10" x14ac:dyDescent="0.3">
      <c r="A13" s="1" t="s">
        <v>21</v>
      </c>
      <c r="B13" s="1">
        <v>6.6</v>
      </c>
      <c r="C13" s="1">
        <v>24.4</v>
      </c>
      <c r="D13" s="1">
        <v>172.7</v>
      </c>
      <c r="E13" s="1">
        <v>43</v>
      </c>
      <c r="F13" s="1">
        <v>34</v>
      </c>
      <c r="G13" s="1">
        <v>38</v>
      </c>
      <c r="H13" s="1">
        <v>-50</v>
      </c>
      <c r="I13" s="1">
        <v>3</v>
      </c>
      <c r="J13" s="1">
        <v>0.69</v>
      </c>
    </row>
    <row r="14" spans="1:10" x14ac:dyDescent="0.3">
      <c r="A14" s="1" t="s">
        <v>22</v>
      </c>
      <c r="B14" s="1">
        <v>40.799999999999997</v>
      </c>
      <c r="C14" s="1">
        <v>48.7</v>
      </c>
      <c r="D14" s="1">
        <v>47.2</v>
      </c>
      <c r="E14" s="1">
        <v>56</v>
      </c>
      <c r="F14" s="1">
        <v>68</v>
      </c>
      <c r="G14" s="1">
        <v>40</v>
      </c>
      <c r="H14" s="1">
        <v>-21</v>
      </c>
      <c r="I14" s="1">
        <v>1</v>
      </c>
      <c r="J14" s="1">
        <v>0.96</v>
      </c>
    </row>
    <row r="15" spans="1:10" x14ac:dyDescent="0.3">
      <c r="A15" s="1" t="s">
        <v>23</v>
      </c>
      <c r="B15" s="1">
        <v>47.5</v>
      </c>
      <c r="C15" s="1">
        <v>11.6</v>
      </c>
      <c r="D15" s="1">
        <v>76.599999999999994</v>
      </c>
      <c r="E15" s="1">
        <v>63</v>
      </c>
      <c r="F15" s="1">
        <v>31</v>
      </c>
      <c r="G15" s="1">
        <v>60</v>
      </c>
      <c r="H15" s="1">
        <v>-36</v>
      </c>
      <c r="I15" s="1">
        <v>2</v>
      </c>
      <c r="J15" s="1">
        <v>0.71</v>
      </c>
    </row>
    <row r="16" spans="1:10" x14ac:dyDescent="0.3">
      <c r="A16" s="1" t="s">
        <v>24</v>
      </c>
      <c r="B16" s="1">
        <v>8.9</v>
      </c>
      <c r="C16" s="1">
        <v>34.700000000000003</v>
      </c>
      <c r="D16" s="1">
        <v>92.3</v>
      </c>
      <c r="E16" s="1">
        <v>76</v>
      </c>
      <c r="F16" s="1">
        <v>98</v>
      </c>
      <c r="G16" s="1">
        <v>33</v>
      </c>
      <c r="H16" s="1">
        <v>-42</v>
      </c>
      <c r="I16" s="1">
        <v>2</v>
      </c>
      <c r="J16" s="1">
        <v>0.74</v>
      </c>
    </row>
    <row r="17" spans="1:10" x14ac:dyDescent="0.3">
      <c r="A17" s="1" t="s">
        <v>25</v>
      </c>
      <c r="B17" s="1">
        <v>70</v>
      </c>
      <c r="C17" s="1">
        <v>44.2</v>
      </c>
      <c r="D17" s="1">
        <v>258.3</v>
      </c>
      <c r="E17" s="1">
        <v>11</v>
      </c>
      <c r="F17" s="1">
        <v>35</v>
      </c>
      <c r="G17" s="1">
        <v>45</v>
      </c>
      <c r="H17" s="1">
        <v>-30</v>
      </c>
      <c r="I17" s="1">
        <v>1</v>
      </c>
      <c r="J17" s="1">
        <v>0.86</v>
      </c>
    </row>
    <row r="18" spans="1:10" x14ac:dyDescent="0.3">
      <c r="A18" s="1" t="s">
        <v>26</v>
      </c>
      <c r="B18" s="1">
        <v>30.6</v>
      </c>
      <c r="C18" s="1">
        <v>42.7</v>
      </c>
      <c r="D18" s="1">
        <v>41.1</v>
      </c>
      <c r="E18" s="1">
        <v>55</v>
      </c>
      <c r="F18" s="1">
        <v>92</v>
      </c>
      <c r="G18" s="1">
        <v>26</v>
      </c>
      <c r="H18" s="1">
        <v>20</v>
      </c>
      <c r="I18" s="1">
        <v>0</v>
      </c>
      <c r="J18" s="1">
        <v>0.72</v>
      </c>
    </row>
    <row r="19" spans="1:10" x14ac:dyDescent="0.3">
      <c r="A19" s="1" t="s">
        <v>27</v>
      </c>
      <c r="B19" s="1">
        <v>37.1</v>
      </c>
      <c r="C19" s="1">
        <v>64.400000000000006</v>
      </c>
      <c r="D19" s="1">
        <v>353.8</v>
      </c>
      <c r="E19" s="1">
        <v>87</v>
      </c>
      <c r="F19" s="1">
        <v>4</v>
      </c>
      <c r="G19" s="1">
        <v>36</v>
      </c>
      <c r="H19" s="1">
        <v>-4</v>
      </c>
      <c r="I19" s="1">
        <v>0</v>
      </c>
      <c r="J19" s="1">
        <v>0.8</v>
      </c>
    </row>
    <row r="20" spans="1:10" x14ac:dyDescent="0.3">
      <c r="A20" s="1" t="s">
        <v>28</v>
      </c>
      <c r="B20" s="1">
        <v>62.4</v>
      </c>
      <c r="C20" s="1">
        <v>97.7</v>
      </c>
      <c r="D20" s="1">
        <v>92.9</v>
      </c>
      <c r="E20" s="1">
        <v>45</v>
      </c>
      <c r="F20" s="1">
        <v>8</v>
      </c>
      <c r="G20" s="1">
        <v>30</v>
      </c>
      <c r="H20" s="1">
        <v>-42</v>
      </c>
      <c r="I20" s="1">
        <v>3</v>
      </c>
      <c r="J20" s="1">
        <v>0.85</v>
      </c>
    </row>
    <row r="21" spans="1:10" x14ac:dyDescent="0.3">
      <c r="A21" s="1" t="s">
        <v>29</v>
      </c>
      <c r="B21" s="1">
        <v>29.2</v>
      </c>
      <c r="C21" s="1">
        <v>2.9</v>
      </c>
      <c r="D21" s="1">
        <v>14.8</v>
      </c>
      <c r="E21" s="1">
        <v>16</v>
      </c>
      <c r="F21" s="1">
        <v>88</v>
      </c>
      <c r="G21" s="1">
        <v>23</v>
      </c>
      <c r="H21" s="1">
        <v>3</v>
      </c>
      <c r="I21" s="1">
        <v>3</v>
      </c>
      <c r="J21" s="1">
        <v>0.94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2701A-2185-46F1-9221-BF831C78ECEE}">
  <dimension ref="A1:B12"/>
  <sheetViews>
    <sheetView workbookViewId="0"/>
  </sheetViews>
  <sheetFormatPr defaultRowHeight="14.4" x14ac:dyDescent="0.3"/>
  <cols>
    <col min="1" max="16384" width="8.88671875" style="1"/>
  </cols>
  <sheetData>
    <row r="1" spans="1:2" ht="18" x14ac:dyDescent="0.35">
      <c r="A1" s="2" t="s">
        <v>30</v>
      </c>
    </row>
    <row r="2" spans="1:2" x14ac:dyDescent="0.3">
      <c r="A2" s="1" t="s">
        <v>31</v>
      </c>
      <c r="B2" s="1" t="str">
        <f>INDEX(Data!A:A, COUNTA(Data!A:A))</f>
        <v>2025-02-11 14:44:37</v>
      </c>
    </row>
    <row r="3" spans="1:2" x14ac:dyDescent="0.3">
      <c r="A3" s="1" t="s">
        <v>32</v>
      </c>
      <c r="B3" s="1" t="str">
        <f>INDEX(Data!B:B, COUNTA(Data!A:A)) &amp; ", " &amp; INDEX(Data!C:C, COUNTA(Data!A:A))</f>
        <v>29.2, 2.9</v>
      </c>
    </row>
    <row r="4" spans="1:2" x14ac:dyDescent="0.3">
      <c r="A4" s="1" t="s">
        <v>33</v>
      </c>
      <c r="B4" s="1">
        <f>INDEX(Data!D:D, COUNTA(Data!A:A))</f>
        <v>14.8</v>
      </c>
    </row>
    <row r="5" spans="1:2" x14ac:dyDescent="0.3">
      <c r="A5" s="1" t="s">
        <v>34</v>
      </c>
      <c r="B5" s="1" t="str">
        <f>INDEX(Data!E:E, COUNTA(Data!A:A)) &amp; ", " &amp; INDEX(Data!F:F, COUNTA(Data!A:A))</f>
        <v>16, 88</v>
      </c>
    </row>
    <row r="6" spans="1:2" x14ac:dyDescent="0.3">
      <c r="A6" s="1" t="s">
        <v>35</v>
      </c>
      <c r="B6" s="1">
        <f>INDEX(Data!G:G, COUNTA(Data!A:A))</f>
        <v>23</v>
      </c>
    </row>
    <row r="7" spans="1:2" x14ac:dyDescent="0.3">
      <c r="A7" s="1" t="s">
        <v>36</v>
      </c>
      <c r="B7" s="1">
        <f>INDEX(Data!H:H, COUNTA(Data!A:A))</f>
        <v>3</v>
      </c>
    </row>
    <row r="8" spans="1:2" x14ac:dyDescent="0.3">
      <c r="A8" s="1" t="s">
        <v>37</v>
      </c>
      <c r="B8" s="1">
        <f>AVERAGE(Data!H2:H21)</f>
        <v>-16.2</v>
      </c>
    </row>
    <row r="9" spans="1:2" x14ac:dyDescent="0.3">
      <c r="A9" s="1" t="s">
        <v>38</v>
      </c>
      <c r="B9" s="1">
        <f>AVERAGE(Data!E2:E21)</f>
        <v>45.9</v>
      </c>
    </row>
    <row r="10" spans="1:2" x14ac:dyDescent="0.3">
      <c r="A10" s="1" t="s">
        <v>39</v>
      </c>
      <c r="B10" s="1">
        <f>AVERAGE(Data!F2:F21)</f>
        <v>52.15</v>
      </c>
    </row>
    <row r="11" spans="1:2" x14ac:dyDescent="0.3">
      <c r="A11" s="1" t="s">
        <v>40</v>
      </c>
      <c r="B11" s="1">
        <f>SUM(Data!I2:I21)</f>
        <v>49</v>
      </c>
    </row>
    <row r="12" spans="1:2" x14ac:dyDescent="0.3">
      <c r="A12" s="1" t="s">
        <v>41</v>
      </c>
      <c r="B12" s="1">
        <f>AVERAGE(Data!J2:J21)</f>
        <v>0.79700000000000004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819F5-2751-421B-9D4F-1679D63D773A}">
  <dimension ref="A1"/>
  <sheetViews>
    <sheetView tabSelected="1" workbookViewId="0"/>
  </sheetViews>
  <sheetFormatPr defaultRowHeight="14.4" x14ac:dyDescent="0.3"/>
  <cols>
    <col min="1" max="16384" width="8.88671875" style="1"/>
  </cols>
  <sheetData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Summary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bashar lo</cp:lastModifiedBy>
  <dcterms:created xsi:type="dcterms:W3CDTF">2015-01-15T16:55:01Z</dcterms:created>
  <dcterms:modified xsi:type="dcterms:W3CDTF">2025-02-14T22:29:19Z</dcterms:modified>
</cp:coreProperties>
</file>